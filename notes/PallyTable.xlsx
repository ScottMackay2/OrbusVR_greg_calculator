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obby\OrbusVR\Greg\notes\"/>
    </mc:Choice>
  </mc:AlternateContent>
  <xr:revisionPtr revIDLastSave="0" documentId="8_{F5C92AB9-45E2-4648-A288-38AD64E28BF6}" xr6:coauthVersionLast="47" xr6:coauthVersionMax="47" xr10:uidLastSave="{00000000-0000-0000-0000-000000000000}"/>
  <bookViews>
    <workbookView xWindow="-120" yWindow="-120" windowWidth="29040" windowHeight="15720" xr2:uid="{757502F2-7D9B-465C-97FB-4C10A41800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6" i="1" s="1"/>
  <c r="E3" i="1"/>
  <c r="E5" i="1" s="1"/>
  <c r="E6" i="1" l="1"/>
  <c r="E4" i="1"/>
  <c r="F4" i="1"/>
  <c r="F5" i="1"/>
</calcChain>
</file>

<file path=xl/sharedStrings.xml><?xml version="1.0" encoding="utf-8"?>
<sst xmlns="http://schemas.openxmlformats.org/spreadsheetml/2006/main" count="10" uniqueCount="10">
  <si>
    <t>Pips of damage</t>
  </si>
  <si>
    <t>Normal pip</t>
  </si>
  <si>
    <t>Empowered pip</t>
  </si>
  <si>
    <t>Lvl 30+0 weapon aggro each pip</t>
  </si>
  <si>
    <t>Left aggro book</t>
  </si>
  <si>
    <t>Lvl 30+6 weapon (+168 strength) aggro each pip</t>
  </si>
  <si>
    <t>Normal stun pip</t>
  </si>
  <si>
    <t>Empowered stun pip</t>
  </si>
  <si>
    <t>Aggro each pip used</t>
  </si>
  <si>
    <t>Aggro relative to damage dealt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</si>
</sst>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FDCF3-5A9B-4CAD-A083-8E888C205AF7}">
  <dimension ref="A1:K6"/>
  <sheetViews>
    <sheetView tabSelected="1" workbookViewId="0">
      <selection activeCell="H8" sqref="H8"/>
    </sheetView>
  </sheetViews>
  <sheetFormatPr defaultRowHeight="15" x14ac:dyDescent="0.25"/>
  <cols>
    <col min="1" max="1" width="21" customWidth="1"/>
    <col min="2" max="2" width="15.5703125" customWidth="1"/>
    <col min="3" max="3" width="14.140625" customWidth="1"/>
    <col min="4" max="4" width="13.28515625" customWidth="1"/>
    <col min="5" max="5" width="16.140625" customWidth="1"/>
    <col min="6" max="6" width="17.42578125" customWidth="1"/>
  </cols>
  <sheetData>
    <row r="1" spans="1:11" ht="45" x14ac:dyDescent="0.25">
      <c r="A1" s="1"/>
      <c r="B1" s="3" t="s">
        <v>0</v>
      </c>
      <c r="C1" s="4" t="s">
        <v>9</v>
      </c>
      <c r="D1" s="4" t="s">
        <v>8</v>
      </c>
      <c r="E1" s="4" t="s">
        <v>3</v>
      </c>
      <c r="F1" s="4" t="s">
        <v>5</v>
      </c>
    </row>
    <row r="2" spans="1:11" x14ac:dyDescent="0.25">
      <c r="A2" s="3" t="s">
        <v>4</v>
      </c>
      <c r="B2" s="1"/>
      <c r="D2" s="2">
        <v>0.875</v>
      </c>
      <c r="E2" s="1">
        <v>29658</v>
      </c>
      <c r="F2" s="1">
        <f>ROUND(E2*(F3/E3),0)</f>
        <v>43877</v>
      </c>
      <c r="G2" s="1"/>
      <c r="H2" s="1"/>
      <c r="I2" s="1"/>
      <c r="J2" s="1"/>
      <c r="K2" s="1"/>
    </row>
    <row r="3" spans="1:11" x14ac:dyDescent="0.25">
      <c r="A3" s="3" t="s">
        <v>1</v>
      </c>
      <c r="B3" s="1">
        <v>1</v>
      </c>
      <c r="C3" s="1">
        <v>4</v>
      </c>
      <c r="D3" s="2">
        <v>1</v>
      </c>
      <c r="E3" s="1">
        <f>7822*C3</f>
        <v>31288</v>
      </c>
      <c r="F3" s="1">
        <f>11572*C3</f>
        <v>46288</v>
      </c>
      <c r="G3" s="1"/>
      <c r="H3" s="1"/>
      <c r="I3" s="1"/>
      <c r="J3" s="1"/>
      <c r="K3" s="1"/>
    </row>
    <row r="4" spans="1:11" x14ac:dyDescent="0.25">
      <c r="A4" s="3" t="s">
        <v>6</v>
      </c>
      <c r="B4" s="1">
        <v>0.65</v>
      </c>
      <c r="C4" s="1">
        <v>8</v>
      </c>
      <c r="D4" s="2">
        <v>1.3</v>
      </c>
      <c r="E4" s="1">
        <f>ROUND(E3*D4, 0)</f>
        <v>40674</v>
      </c>
      <c r="F4" s="1">
        <f>ROUND(F3*D4, 0)</f>
        <v>60174</v>
      </c>
      <c r="G4" s="1"/>
      <c r="H4" s="1"/>
      <c r="I4" s="1"/>
      <c r="J4" s="1"/>
      <c r="K4" s="1"/>
    </row>
    <row r="5" spans="1:11" x14ac:dyDescent="0.25">
      <c r="A5" s="3" t="s">
        <v>2</v>
      </c>
      <c r="B5" s="1">
        <v>2</v>
      </c>
      <c r="C5" s="1">
        <v>8</v>
      </c>
      <c r="D5" s="2">
        <v>4</v>
      </c>
      <c r="E5" s="1">
        <f>E3*D5</f>
        <v>125152</v>
      </c>
      <c r="F5" s="1">
        <f>F3*D5</f>
        <v>185152</v>
      </c>
      <c r="G5" s="1"/>
      <c r="H5" s="1"/>
      <c r="I5" s="1"/>
      <c r="J5" s="1"/>
      <c r="K5" s="1"/>
    </row>
    <row r="6" spans="1:11" x14ac:dyDescent="0.25">
      <c r="A6" s="3" t="s">
        <v>7</v>
      </c>
      <c r="B6" s="1">
        <v>1.3</v>
      </c>
      <c r="C6" s="1">
        <v>16</v>
      </c>
      <c r="D6" s="2">
        <v>5.2</v>
      </c>
      <c r="E6" s="1">
        <f>ROUND(E3*D6,0)</f>
        <v>162698</v>
      </c>
      <c r="F6" s="1">
        <f>ROUND(F3*D6,0)</f>
        <v>240698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Mackay</dc:creator>
  <cp:lastModifiedBy>Scott Mackay</cp:lastModifiedBy>
  <dcterms:created xsi:type="dcterms:W3CDTF">2024-04-28T21:00:39Z</dcterms:created>
  <dcterms:modified xsi:type="dcterms:W3CDTF">2024-04-28T22:28:59Z</dcterms:modified>
</cp:coreProperties>
</file>